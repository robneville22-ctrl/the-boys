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neup" sheetId="1" state="visible" r:id="rId3"/>
    <sheet name="Roster &amp; Sta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<sst xmlns="http://schemas.openxmlformats.org/spreadsheetml/2006/main" count="231" uniqueCount="146">
  <si>
    <t xml:space="preserve">Yeager 9U  vs  Next Level Black</t>
  </si>
  <si>
    <t xml:space="preserve">Bollinger Classic · 9U · Pool Play Game 2 · 3:30 PM   —   editable defensive plan</t>
  </si>
  <si>
    <t xml:space="preserve">POS</t>
  </si>
  <si>
    <t xml:space="preserve">Inn 1</t>
  </si>
  <si>
    <t xml:space="preserve">Inn 2</t>
  </si>
  <si>
    <t xml:space="preserve">Inn 3</t>
  </si>
  <si>
    <t xml:space="preserve">Inn 4</t>
  </si>
  <si>
    <t xml:space="preserve">Inn 5</t>
  </si>
  <si>
    <t xml:space="preserve">Inn 6</t>
  </si>
  <si>
    <t xml:space="preserve">INNINGS PLAYED (auto)</t>
  </si>
  <si>
    <t xml:space="preserve">P</t>
  </si>
  <si>
    <t xml:space="preserve">Martini</t>
  </si>
  <si>
    <t xml:space="preserve">Powers</t>
  </si>
  <si>
    <t xml:space="preserve">Sander</t>
  </si>
  <si>
    <t xml:space="preserve">Mills</t>
  </si>
  <si>
    <t xml:space="preserve">Player</t>
  </si>
  <si>
    <t xml:space="preserve">Field</t>
  </si>
  <si>
    <t xml:space="preserve">Pitch</t>
  </si>
  <si>
    <t xml:space="preserve">Role</t>
  </si>
  <si>
    <t xml:space="preserve">C</t>
  </si>
  <si>
    <t xml:space="preserve">Ruther</t>
  </si>
  <si>
    <t xml:space="preserve">C — all 6</t>
  </si>
  <si>
    <t xml:space="preserve">1B</t>
  </si>
  <si>
    <t xml:space="preserve">Adams</t>
  </si>
  <si>
    <t xml:space="preserve">1B (shares w/ Mills)</t>
  </si>
  <si>
    <t xml:space="preserve">2B</t>
  </si>
  <si>
    <t xml:space="preserve">Grayson</t>
  </si>
  <si>
    <t xml:space="preserve">SS / ace</t>
  </si>
  <si>
    <t xml:space="preserve">3B</t>
  </si>
  <si>
    <t xml:space="preserve">Lasita</t>
  </si>
  <si>
    <t xml:space="preserve">3B — all 6</t>
  </si>
  <si>
    <t xml:space="preserve">SS</t>
  </si>
  <si>
    <t xml:space="preserve">Util — keep in</t>
  </si>
  <si>
    <t xml:space="preserve">LF</t>
  </si>
  <si>
    <t xml:space="preserve">Niemer</t>
  </si>
  <si>
    <t xml:space="preserve">Fristoe</t>
  </si>
  <si>
    <t xml:space="preserve">CF</t>
  </si>
  <si>
    <t xml:space="preserve">Todd</t>
  </si>
  <si>
    <t xml:space="preserve">2B / arm</t>
  </si>
  <si>
    <t xml:space="preserve">RF</t>
  </si>
  <si>
    <t xml:space="preserve">Floyd</t>
  </si>
  <si>
    <t xml:space="preserve">1B / closer</t>
  </si>
  <si>
    <t xml:space="preserve">Check</t>
  </si>
  <si>
    <t xml:space="preserve">CF — rotates</t>
  </si>
  <si>
    <t xml:space="preserve">BENCH</t>
  </si>
  <si>
    <t xml:space="preserve">Bat the full roster continuously — bench is defense only; benched players still hit.</t>
  </si>
  <si>
    <t xml:space="preserve">Corner OF</t>
  </si>
  <si>
    <t xml:space="preserve">HOW TO USE:</t>
  </si>
  <si>
    <t xml:space="preserve">• Click any white cell in the grid → pick a player from the dropdown.</t>
  </si>
  <si>
    <t xml:space="preserve">TOTAL</t>
  </si>
  <si>
    <t xml:space="preserve">Field must = 54</t>
  </si>
  <si>
    <t xml:space="preserve">• 'Check' row flags DUP (red) if a player is listed twice in one inning.</t>
  </si>
  <si>
    <t xml:space="preserve">• 'Innings Played' (right) updates live; TOTAL turns red if it isn't 54.</t>
  </si>
  <si>
    <t xml:space="preserve">"Field" counts pitching too. Pitch cap = 3/game; keep arms ≤2 to stay available tomorrow.</t>
  </si>
  <si>
    <t xml:space="preserve">• Pitching = the top (P) row. Today's plan: Martini 2, Powers 1, Sander 1, Mills 2; Ruther held for tomorrow.</t>
  </si>
  <si>
    <t xml:space="preserve">#</t>
  </si>
  <si>
    <t xml:space="preserve">Primary</t>
  </si>
  <si>
    <t xml:space="preserve">AVG</t>
  </si>
  <si>
    <t xml:space="preserve">OPS</t>
  </si>
  <si>
    <t xml:space="preserve">P-IP</t>
  </si>
  <si>
    <t xml:space="preserve">ERA</t>
  </si>
  <si>
    <t xml:space="preserve">WHIP</t>
  </si>
  <si>
    <t xml:space="preserve">Strike%</t>
  </si>
  <si>
    <t xml:space="preserve">Notes</t>
  </si>
  <si>
    <t xml:space="preserve">.426</t>
  </si>
  <si>
    <t xml:space="preserve">1.081</t>
  </si>
  <si>
    <t xml:space="preserve">9.1</t>
  </si>
  <si>
    <t xml:space="preserve">9.00</t>
  </si>
  <si>
    <t xml:space="preserve">2.04</t>
  </si>
  <si>
    <t xml:space="preserve">57%</t>
  </si>
  <si>
    <t xml:space="preserve">Everyday catcher. Held off mound today = fresh tomorrow.</t>
  </si>
  <si>
    <t xml:space="preserve">.537</t>
  </si>
  <si>
    <t xml:space="preserve">1.316</t>
  </si>
  <si>
    <t xml:space="preserve">17.0</t>
  </si>
  <si>
    <t xml:space="preserve">13.06</t>
  </si>
  <si>
    <t xml:space="preserve">3.18</t>
  </si>
  <si>
    <t xml:space="preserve">61%</t>
  </si>
  <si>
    <t xml:space="preserve">Everyday 1B, big bat. Shares 1B with Mills.</t>
  </si>
  <si>
    <t xml:space="preserve">.634</t>
  </si>
  <si>
    <t xml:space="preserve">1.465</t>
  </si>
  <si>
    <t xml:space="preserve">28.2</t>
  </si>
  <si>
    <t xml:space="preserve">8.16</t>
  </si>
  <si>
    <t xml:space="preserve">1.88</t>
  </si>
  <si>
    <t xml:space="preserve">64%</t>
  </si>
  <si>
    <t xml:space="preserve">Best hitter + ace. Best strike-thrower. Start him.</t>
  </si>
  <si>
    <t xml:space="preserve">.500</t>
  </si>
  <si>
    <t xml:space="preserve">1.349</t>
  </si>
  <si>
    <t xml:space="preserve">13.50</t>
  </si>
  <si>
    <t xml:space="preserve">3.00</t>
  </si>
  <si>
    <t xml:space="preserve">51%</t>
  </si>
  <si>
    <t xml:space="preserve">Everyday 3B, big bat. Wild on mound.</t>
  </si>
  <si>
    <t xml:space="preserve">.328</t>
  </si>
  <si>
    <t xml:space="preserve">.948</t>
  </si>
  <si>
    <t xml:space="preserve">10.2</t>
  </si>
  <si>
    <t xml:space="preserve">10.69</t>
  </si>
  <si>
    <t xml:space="preserve">2.44</t>
  </si>
  <si>
    <t xml:space="preserve">55%</t>
  </si>
  <si>
    <t xml:space="preserve">Top glove, solid anywhere. Keep in all 6.</t>
  </si>
  <si>
    <t xml:space="preserve">SS/CF</t>
  </si>
  <si>
    <t xml:space="preserve">.492</t>
  </si>
  <si>
    <t xml:space="preserve">1.324</t>
  </si>
  <si>
    <t xml:space="preserve">7.0</t>
  </si>
  <si>
    <t xml:space="preserve">5.14</t>
  </si>
  <si>
    <t xml:space="preserve">2.14</t>
  </si>
  <si>
    <t xml:space="preserve">48%</t>
  </si>
  <si>
    <t xml:space="preserve">Solid anywhere. Low ERA/BAA. Keep in all 6.</t>
  </si>
  <si>
    <t xml:space="preserve">.340</t>
  </si>
  <si>
    <t xml:space="preserve">.848</t>
  </si>
  <si>
    <t xml:space="preserve">12.1</t>
  </si>
  <si>
    <t xml:space="preserve">7.78</t>
  </si>
  <si>
    <t xml:space="preserve">2.19</t>
  </si>
  <si>
    <t xml:space="preserve">59%</t>
  </si>
  <si>
    <t xml:space="preserve">Steady 2B, throws strikes. 1 IP today.</t>
  </si>
  <si>
    <t xml:space="preserve">1B/P</t>
  </si>
  <si>
    <t xml:space="preserve">.464</t>
  </si>
  <si>
    <t xml:space="preserve">1.192</t>
  </si>
  <si>
    <t xml:space="preserve">7.12</t>
  </si>
  <si>
    <t xml:space="preserve">1.85</t>
  </si>
  <si>
    <t xml:space="preserve">53%</t>
  </si>
  <si>
    <t xml:space="preserve">Workhorse arm (1.85 WHIP, 35K). Shares 1B; closes today.</t>
  </si>
  <si>
    <t xml:space="preserve">.327</t>
  </si>
  <si>
    <t xml:space="preserve">1.043</t>
  </si>
  <si>
    <t xml:space="preserve">5.2</t>
  </si>
  <si>
    <t xml:space="preserve">19.06</t>
  </si>
  <si>
    <t xml:space="preserve">4.06</t>
  </si>
  <si>
    <t xml:space="preserve">45%</t>
  </si>
  <si>
    <t xml:space="preserve">Good CF glove, ok to rotate. Avoid mound (wild).</t>
  </si>
  <si>
    <t xml:space="preserve">.397</t>
  </si>
  <si>
    <t xml:space="preserve">6.2</t>
  </si>
  <si>
    <t xml:space="preserve">8.10</t>
  </si>
  <si>
    <t xml:space="preserve">2.40</t>
  </si>
  <si>
    <t xml:space="preserve">Everyday RF. Emergency low-leverage arm.</t>
  </si>
  <si>
    <t xml:space="preserve">OF</t>
  </si>
  <si>
    <t xml:space="preserve">.345</t>
  </si>
  <si>
    <t xml:space="preserve">.920</t>
  </si>
  <si>
    <t xml:space="preserve">6.0</t>
  </si>
  <si>
    <t xml:space="preserve">18.00</t>
  </si>
  <si>
    <t xml:space="preserve">4.17</t>
  </si>
  <si>
    <t xml:space="preserve">Corner OF, weaker glove. Cap innings.</t>
  </si>
  <si>
    <t xml:space="preserve">.333</t>
  </si>
  <si>
    <t xml:space="preserve">.978</t>
  </si>
  <si>
    <t xml:space="preserve">5.1</t>
  </si>
  <si>
    <t xml:space="preserve">14.63</t>
  </si>
  <si>
    <t xml:space="preserve">3.38</t>
  </si>
  <si>
    <t xml:space="preserve">47%</t>
  </si>
  <si>
    <t xml:space="preserve">Pitching priority: Martini &amp; Mills (top) → Powers, Sander → others. Avoid Todd/Niemer/Fristoe/Adams/Lasita on the mound in a close game.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</si>
</sst>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B111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name val="Arial"/>
      <family val="0"/>
      <charset val="1"/>
    </font>
    <font>
      <sz val="9"/>
      <color rgb="FF5A6B7E"/>
      <name val="Arial"/>
      <family val="0"/>
      <charset val="1"/>
    </font>
    <font>
      <i val="true"/>
      <sz val="10"/>
      <color rgb="FF5A6B7E"/>
      <name val="Arial"/>
      <family val="0"/>
      <charset val="1"/>
    </font>
    <font>
      <sz val="9"/>
      <color rgb="FF333333"/>
      <name val="Arial"/>
      <family val="0"/>
      <charset val="1"/>
    </font>
    <font>
      <sz val="10"/>
      <color rgb="FF333333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0243F"/>
        <bgColor rgb="FF333333"/>
      </patternFill>
    </fill>
    <fill>
      <patternFill patternType="solid">
        <fgColor rgb="FFEEF2F7"/>
        <bgColor rgb="FFF1F4F8"/>
      </patternFill>
    </fill>
    <fill>
      <patternFill patternType="solid">
        <fgColor rgb="FFFFF1F1"/>
        <bgColor rgb="FFF1F4F8"/>
      </patternFill>
    </fill>
    <fill>
      <patternFill patternType="solid">
        <fgColor rgb="FFF1F4F8"/>
        <bgColor rgb="FFEEF2F7"/>
      </patternFill>
    </fill>
    <fill>
      <patternFill patternType="solid">
        <fgColor rgb="FFF7F9FC"/>
        <bgColor rgb="FFF1F4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D"/>
      </left>
      <right style="thin">
        <color rgb="FFC9D2DD"/>
      </right>
      <top style="thin">
        <color rgb="FFC9D2DD"/>
      </top>
      <bottom style="thin">
        <color rgb="FFC9D2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FFFFFF"/>
      </font>
      <fill>
        <patternFill>
          <bgColor rgb="FFFF6B6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1F1"/>
      <rgbColor rgb="FFEEF2F7"/>
      <rgbColor rgb="FF660066"/>
      <rgbColor rgb="FFFF6B6B"/>
      <rgbColor rgb="FF0066CC"/>
      <rgbColor rgb="FFC9D2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4F8"/>
      <rgbColor rgb="FFF7F9F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E"/>
      <rgbColor rgb="FF969696"/>
      <rgbColor rgb="FF10243F"/>
      <rgbColor rgb="FF339966"/>
      <rgbColor rgb="FF003300"/>
      <rgbColor rgb="FF333300"/>
      <rgbColor rgb="FFB111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7" min="2" style="1" width="11"/>
    <col collapsed="false" customWidth="true" hidden="false" outlineLevel="0" max="8" min="8" style="1" width="3"/>
    <col collapsed="false" customWidth="true" hidden="false" outlineLevel="0" max="13" min="9" style="1" width="12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I4" s="4" t="s">
        <v>9</v>
      </c>
      <c r="J4" s="4"/>
      <c r="K4" s="4"/>
      <c r="L4" s="4"/>
    </row>
    <row r="5" customFormat="false" ht="15" hidden="false" customHeight="true" outlineLevel="0" collapsed="false">
      <c r="A5" s="5" t="s">
        <v>10</v>
      </c>
      <c r="B5" s="6" t="s">
        <v>11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14</v>
      </c>
      <c r="I5" s="7" t="s">
        <v>15</v>
      </c>
      <c r="J5" s="7" t="s">
        <v>16</v>
      </c>
      <c r="K5" s="7" t="s">
        <v>17</v>
      </c>
      <c r="L5" s="7" t="s">
        <v>18</v>
      </c>
    </row>
    <row r="6" customFormat="false" ht="15" hidden="false" customHeight="true" outlineLevel="0" collapsed="false">
      <c r="A6" s="5" t="s">
        <v>19</v>
      </c>
      <c r="B6" s="8" t="s">
        <v>20</v>
      </c>
      <c r="C6" s="8" t="s">
        <v>20</v>
      </c>
      <c r="D6" s="8" t="s">
        <v>20</v>
      </c>
      <c r="E6" s="8" t="s">
        <v>20</v>
      </c>
      <c r="F6" s="8" t="s">
        <v>20</v>
      </c>
      <c r="G6" s="8" t="s">
        <v>20</v>
      </c>
      <c r="I6" s="9" t="s">
        <v>20</v>
      </c>
      <c r="J6" s="10" t="n">
        <f aca="false">COUNTIF($B$5:$G$13,I6)</f>
        <v>6</v>
      </c>
      <c r="K6" s="10" t="n">
        <f aca="false">COUNTIF($B$5:$G$5,I6)</f>
        <v>0</v>
      </c>
      <c r="L6" s="11" t="s">
        <v>21</v>
      </c>
    </row>
    <row r="7" customFormat="false" ht="15" hidden="false" customHeight="true" outlineLevel="0" collapsed="false">
      <c r="A7" s="5" t="s">
        <v>22</v>
      </c>
      <c r="B7" s="8" t="s">
        <v>23</v>
      </c>
      <c r="C7" s="8" t="s">
        <v>23</v>
      </c>
      <c r="D7" s="8" t="s">
        <v>14</v>
      </c>
      <c r="E7" s="8" t="s">
        <v>23</v>
      </c>
      <c r="F7" s="8" t="s">
        <v>23</v>
      </c>
      <c r="G7" s="8" t="s">
        <v>23</v>
      </c>
      <c r="I7" s="9" t="s">
        <v>23</v>
      </c>
      <c r="J7" s="10" t="n">
        <f aca="false">COUNTIF($B$5:$G$13,I7)</f>
        <v>5</v>
      </c>
      <c r="K7" s="10" t="n">
        <f aca="false">COUNTIF($B$5:$G$5,I7)</f>
        <v>0</v>
      </c>
      <c r="L7" s="11" t="s">
        <v>24</v>
      </c>
    </row>
    <row r="8" customFormat="false" ht="15" hidden="false" customHeight="true" outlineLevel="0" collapsed="false">
      <c r="A8" s="5" t="s">
        <v>25</v>
      </c>
      <c r="B8" s="8" t="s">
        <v>26</v>
      </c>
      <c r="C8" s="8" t="s">
        <v>13</v>
      </c>
      <c r="D8" s="8" t="s">
        <v>26</v>
      </c>
      <c r="E8" s="8" t="s">
        <v>26</v>
      </c>
      <c r="F8" s="8" t="s">
        <v>26</v>
      </c>
      <c r="G8" s="8" t="s">
        <v>13</v>
      </c>
      <c r="I8" s="9" t="s">
        <v>11</v>
      </c>
      <c r="J8" s="10" t="n">
        <f aca="false">COUNTIF($B$5:$G$13,I8)</f>
        <v>6</v>
      </c>
      <c r="K8" s="10" t="n">
        <f aca="false">COUNTIF($B$5:$G$5,I8)</f>
        <v>2</v>
      </c>
      <c r="L8" s="11" t="s">
        <v>27</v>
      </c>
    </row>
    <row r="9" customFormat="false" ht="15" hidden="false" customHeight="true" outlineLevel="0" collapsed="false">
      <c r="A9" s="5" t="s">
        <v>28</v>
      </c>
      <c r="B9" s="8" t="s">
        <v>29</v>
      </c>
      <c r="C9" s="8" t="s">
        <v>29</v>
      </c>
      <c r="D9" s="8" t="s">
        <v>29</v>
      </c>
      <c r="E9" s="8" t="s">
        <v>29</v>
      </c>
      <c r="F9" s="8" t="s">
        <v>29</v>
      </c>
      <c r="G9" s="8" t="s">
        <v>29</v>
      </c>
      <c r="I9" s="9" t="s">
        <v>29</v>
      </c>
      <c r="J9" s="10" t="n">
        <f aca="false">COUNTIF($B$5:$G$13,I9)</f>
        <v>6</v>
      </c>
      <c r="K9" s="10" t="n">
        <f aca="false">COUNTIF($B$5:$G$5,I9)</f>
        <v>0</v>
      </c>
      <c r="L9" s="11" t="s">
        <v>30</v>
      </c>
    </row>
    <row r="10" customFormat="false" ht="15" hidden="false" customHeight="true" outlineLevel="0" collapsed="false">
      <c r="A10" s="5" t="s">
        <v>31</v>
      </c>
      <c r="B10" s="8" t="s">
        <v>12</v>
      </c>
      <c r="C10" s="8" t="s">
        <v>12</v>
      </c>
      <c r="D10" s="8" t="s">
        <v>11</v>
      </c>
      <c r="E10" s="8" t="s">
        <v>11</v>
      </c>
      <c r="F10" s="8" t="s">
        <v>11</v>
      </c>
      <c r="G10" s="8" t="s">
        <v>11</v>
      </c>
      <c r="I10" s="9" t="s">
        <v>26</v>
      </c>
      <c r="J10" s="10" t="n">
        <f aca="false">COUNTIF($B$5:$G$13,I10)</f>
        <v>6</v>
      </c>
      <c r="K10" s="10" t="n">
        <f aca="false">COUNTIF($B$5:$G$5,I10)</f>
        <v>0</v>
      </c>
      <c r="L10" s="11" t="s">
        <v>32</v>
      </c>
    </row>
    <row r="11" customFormat="false" ht="15" hidden="false" customHeight="true" outlineLevel="0" collapsed="false">
      <c r="A11" s="5" t="s">
        <v>33</v>
      </c>
      <c r="B11" s="8" t="s">
        <v>34</v>
      </c>
      <c r="C11" s="8" t="s">
        <v>26</v>
      </c>
      <c r="D11" s="8" t="s">
        <v>35</v>
      </c>
      <c r="E11" s="8" t="s">
        <v>34</v>
      </c>
      <c r="F11" s="8" t="s">
        <v>34</v>
      </c>
      <c r="G11" s="8" t="s">
        <v>12</v>
      </c>
      <c r="I11" s="9" t="s">
        <v>12</v>
      </c>
      <c r="J11" s="10" t="n">
        <f aca="false">COUNTIF($B$5:$G$13,I11)</f>
        <v>6</v>
      </c>
      <c r="K11" s="10" t="n">
        <f aca="false">COUNTIF($B$5:$G$5,I11)</f>
        <v>1</v>
      </c>
      <c r="L11" s="11" t="s">
        <v>32</v>
      </c>
    </row>
    <row r="12" customFormat="false" ht="15" hidden="false" customHeight="true" outlineLevel="0" collapsed="false">
      <c r="A12" s="5" t="s">
        <v>36</v>
      </c>
      <c r="B12" s="8" t="s">
        <v>37</v>
      </c>
      <c r="C12" s="8" t="s">
        <v>37</v>
      </c>
      <c r="D12" s="8" t="s">
        <v>37</v>
      </c>
      <c r="E12" s="8" t="s">
        <v>12</v>
      </c>
      <c r="F12" s="8" t="s">
        <v>12</v>
      </c>
      <c r="G12" s="8" t="s">
        <v>37</v>
      </c>
      <c r="I12" s="9" t="s">
        <v>13</v>
      </c>
      <c r="J12" s="10" t="n">
        <f aca="false">COUNTIF($B$5:$G$13,I12)</f>
        <v>3</v>
      </c>
      <c r="K12" s="10" t="n">
        <f aca="false">COUNTIF($B$5:$G$5,I12)</f>
        <v>1</v>
      </c>
      <c r="L12" s="11" t="s">
        <v>38</v>
      </c>
    </row>
    <row r="13" customFormat="false" ht="15" hidden="false" customHeight="true" outlineLevel="0" collapsed="false">
      <c r="A13" s="5" t="s">
        <v>39</v>
      </c>
      <c r="B13" s="8" t="s">
        <v>40</v>
      </c>
      <c r="C13" s="8" t="s">
        <v>35</v>
      </c>
      <c r="D13" s="8" t="s">
        <v>40</v>
      </c>
      <c r="E13" s="8" t="s">
        <v>40</v>
      </c>
      <c r="F13" s="8" t="s">
        <v>35</v>
      </c>
      <c r="G13" s="8" t="s">
        <v>26</v>
      </c>
      <c r="I13" s="9" t="s">
        <v>14</v>
      </c>
      <c r="J13" s="10" t="n">
        <f aca="false">COUNTIF($B$5:$G$13,I13)</f>
        <v>3</v>
      </c>
      <c r="K13" s="10" t="n">
        <f aca="false">COUNTIF($B$5:$G$5,I13)</f>
        <v>2</v>
      </c>
      <c r="L13" s="11" t="s">
        <v>41</v>
      </c>
    </row>
    <row r="14" customFormat="false" ht="15" hidden="false" customHeight="true" outlineLevel="0" collapsed="false">
      <c r="A14" s="12" t="s">
        <v>42</v>
      </c>
      <c r="B14" s="13" t="str">
        <f aca="false">IF(SUMPRODUCT(COUNTIF(B5:B13,B5:B13))&gt;9,"DUP","ok")</f>
        <v>ok</v>
      </c>
      <c r="C14" s="13" t="str">
        <f aca="false">IF(SUMPRODUCT(COUNTIF(C5:C13,C5:C13))&gt;9,"DUP","ok")</f>
        <v>ok</v>
      </c>
      <c r="D14" s="13" t="str">
        <f aca="false">IF(SUMPRODUCT(COUNTIF(D5:D13,D5:D13))&gt;9,"DUP","ok")</f>
        <v>ok</v>
      </c>
      <c r="E14" s="13" t="str">
        <f aca="false">IF(SUMPRODUCT(COUNTIF(E5:E13,E5:E13))&gt;9,"DUP","ok")</f>
        <v>ok</v>
      </c>
      <c r="F14" s="13" t="str">
        <f aca="false">IF(SUMPRODUCT(COUNTIF(F5:F13,F5:F13))&gt;9,"DUP","ok")</f>
        <v>ok</v>
      </c>
      <c r="G14" s="13" t="str">
        <f aca="false">IF(SUMPRODUCT(COUNTIF(G5:G13,G5:G13))&gt;9,"DUP","ok")</f>
        <v>ok</v>
      </c>
      <c r="I14" s="9" t="s">
        <v>37</v>
      </c>
      <c r="J14" s="10" t="n">
        <f aca="false">COUNTIF($B$5:$G$13,I14)</f>
        <v>4</v>
      </c>
      <c r="K14" s="10" t="n">
        <f aca="false">COUNTIF($B$5:$G$5,I14)</f>
        <v>0</v>
      </c>
      <c r="L14" s="11" t="s">
        <v>43</v>
      </c>
    </row>
    <row r="15" customFormat="false" ht="48" hidden="false" customHeight="true" outlineLevel="0" collapsed="false">
      <c r="A15" s="14" t="s">
        <v>44</v>
      </c>
      <c r="B15" s="15" t="str">
        <f aca="false">LEFT(B40&amp;B41&amp;B42&amp;B43&amp;B44&amp;B45&amp;B46&amp;B47&amp;B48&amp;B49&amp;B50&amp;B51,MAX(0,LEN(B40&amp;B41&amp;B42&amp;B43&amp;B44&amp;B45&amp;B46&amp;B47&amp;B48&amp;B49&amp;B50&amp;B51)-2))</f>
        <v>Sander, Mills, Fristoe</v>
      </c>
      <c r="C15" s="15" t="str">
        <f aca="false">LEFT(C40&amp;C41&amp;C42&amp;C43&amp;C44&amp;C45&amp;C46&amp;C47&amp;C48&amp;C49&amp;C50&amp;C51,MAX(0,LEN(C40&amp;C41&amp;C42&amp;C43&amp;C44&amp;C45&amp;C46&amp;C47&amp;C48&amp;C49&amp;C50&amp;C51)-2))</f>
        <v>Mills, Floyd, Niemer</v>
      </c>
      <c r="D15" s="15" t="str">
        <f aca="false">LEFT(D40&amp;D41&amp;D42&amp;D43&amp;D44&amp;D45&amp;D46&amp;D47&amp;D48&amp;D49&amp;D50&amp;D51,MAX(0,LEN(D40&amp;D41&amp;D42&amp;D43&amp;D44&amp;D45&amp;D46&amp;D47&amp;D48&amp;D49&amp;D50&amp;D51)-2))</f>
        <v>Adams, Sander, Niemer</v>
      </c>
      <c r="E15" s="15" t="str">
        <f aca="false">LEFT(E40&amp;E41&amp;E42&amp;E43&amp;E44&amp;E45&amp;E46&amp;E47&amp;E48&amp;E49&amp;E50&amp;E51,MAX(0,LEN(E40&amp;E41&amp;E42&amp;E43&amp;E44&amp;E45&amp;E46&amp;E47&amp;E48&amp;E49&amp;E50&amp;E51)-2))</f>
        <v>Mills, Todd, Fristoe</v>
      </c>
      <c r="F15" s="15" t="str">
        <f aca="false">LEFT(F40&amp;F41&amp;F42&amp;F43&amp;F44&amp;F45&amp;F46&amp;F47&amp;F48&amp;F49&amp;F50&amp;F51,MAX(0,LEN(F40&amp;F41&amp;F42&amp;F43&amp;F44&amp;F45&amp;F46&amp;F47&amp;F48&amp;F49&amp;F50&amp;F51)-2))</f>
        <v>Sander, Todd, Floyd</v>
      </c>
      <c r="G15" s="15" t="str">
        <f aca="false">LEFT(G40&amp;G41&amp;G42&amp;G43&amp;G44&amp;G45&amp;G46&amp;G47&amp;G48&amp;G49&amp;G50&amp;G51,MAX(0,LEN(G40&amp;G41&amp;G42&amp;G43&amp;G44&amp;G45&amp;G46&amp;G47&amp;G48&amp;G49&amp;G50&amp;G51)-2))</f>
        <v>Floyd, Niemer, Fristoe</v>
      </c>
      <c r="I15" s="9" t="s">
        <v>40</v>
      </c>
      <c r="J15" s="10" t="n">
        <f aca="false">COUNTIF($B$5:$G$13,I15)</f>
        <v>3</v>
      </c>
      <c r="K15" s="10" t="n">
        <f aca="false">COUNTIF($B$5:$G$5,I15)</f>
        <v>0</v>
      </c>
      <c r="L15" s="11" t="s">
        <v>39</v>
      </c>
    </row>
    <row r="16" customFormat="false" ht="15" hidden="false" customHeight="true" outlineLevel="0" collapsed="false">
      <c r="A16" s="16" t="s">
        <v>45</v>
      </c>
      <c r="B16" s="16"/>
      <c r="C16" s="16"/>
      <c r="D16" s="16"/>
      <c r="E16" s="16"/>
      <c r="F16" s="16"/>
      <c r="G16" s="16"/>
      <c r="I16" s="9" t="s">
        <v>34</v>
      </c>
      <c r="J16" s="10" t="n">
        <f aca="false">COUNTIF($B$5:$G$13,I16)</f>
        <v>3</v>
      </c>
      <c r="K16" s="10" t="n">
        <f aca="false">COUNTIF($B$5:$G$5,I16)</f>
        <v>0</v>
      </c>
      <c r="L16" s="11" t="s">
        <v>46</v>
      </c>
    </row>
    <row r="17" customFormat="false" ht="15" hidden="false" customHeight="true" outlineLevel="0" collapsed="false">
      <c r="A17" s="17" t="s">
        <v>47</v>
      </c>
      <c r="B17" s="17"/>
      <c r="C17" s="17"/>
      <c r="D17" s="17"/>
      <c r="E17" s="17"/>
      <c r="F17" s="17"/>
      <c r="G17" s="17"/>
      <c r="I17" s="9" t="s">
        <v>35</v>
      </c>
      <c r="J17" s="10" t="n">
        <f aca="false">COUNTIF($B$5:$G$13,I17)</f>
        <v>3</v>
      </c>
      <c r="K17" s="10" t="n">
        <f aca="false">COUNTIF($B$5:$G$5,I17)</f>
        <v>0</v>
      </c>
      <c r="L17" s="11" t="s">
        <v>46</v>
      </c>
    </row>
    <row r="18" customFormat="false" ht="15" hidden="false" customHeight="true" outlineLevel="0" collapsed="false">
      <c r="A18" s="18" t="s">
        <v>48</v>
      </c>
      <c r="B18" s="18"/>
      <c r="C18" s="18"/>
      <c r="D18" s="18"/>
      <c r="E18" s="18"/>
      <c r="F18" s="18"/>
      <c r="G18" s="18"/>
      <c r="I18" s="19" t="s">
        <v>49</v>
      </c>
      <c r="J18" s="20" t="n">
        <f aca="false">SUM(J6:J17)</f>
        <v>54</v>
      </c>
      <c r="K18" s="20" t="n">
        <f aca="false">SUM(K6:K17)</f>
        <v>6</v>
      </c>
      <c r="L18" s="21" t="s">
        <v>50</v>
      </c>
    </row>
    <row r="19" customFormat="false" ht="15" hidden="false" customHeight="true" outlineLevel="0" collapsed="false">
      <c r="A19" s="18" t="s">
        <v>51</v>
      </c>
      <c r="B19" s="18"/>
      <c r="C19" s="18"/>
      <c r="D19" s="18"/>
      <c r="E19" s="18"/>
      <c r="F19" s="18"/>
      <c r="G19" s="18"/>
    </row>
    <row r="20" customFormat="false" ht="15" hidden="false" customHeight="true" outlineLevel="0" collapsed="false">
      <c r="A20" s="18" t="s">
        <v>52</v>
      </c>
      <c r="B20" s="18"/>
      <c r="C20" s="18"/>
      <c r="D20" s="18"/>
      <c r="E20" s="18"/>
      <c r="F20" s="18"/>
      <c r="G20" s="18"/>
      <c r="I20" s="16" t="s">
        <v>53</v>
      </c>
      <c r="J20" s="16"/>
      <c r="K20" s="16"/>
      <c r="L20" s="16"/>
    </row>
    <row r="21" customFormat="false" ht="15" hidden="false" customHeight="true" outlineLevel="0" collapsed="false">
      <c r="A21" s="18" t="s">
        <v>54</v>
      </c>
      <c r="B21" s="18"/>
      <c r="C21" s="18"/>
      <c r="D21" s="18"/>
      <c r="E21" s="18"/>
      <c r="F21" s="18"/>
      <c r="G21" s="18"/>
    </row>
    <row r="40" customFormat="false" ht="15" hidden="true" customHeight="true" outlineLevel="0" collapsed="false">
      <c r="B40" s="1" t="str">
        <f aca="false">IF(COUNTIF(B5:B13,'Roster &amp; Stats'!$B$2)=0,'Roster &amp; Stats'!$B$2&amp;", ","")</f>
        <v/>
      </c>
      <c r="C40" s="1" t="str">
        <f aca="false">IF(COUNTIF(C5:C13,'Roster &amp; Stats'!$B$2)=0,'Roster &amp; Stats'!$B$2&amp;", ","")</f>
        <v/>
      </c>
      <c r="D40" s="1" t="str">
        <f aca="false">IF(COUNTIF(D5:D13,'Roster &amp; Stats'!$B$2)=0,'Roster &amp; Stats'!$B$2&amp;", ","")</f>
        <v/>
      </c>
      <c r="E40" s="1" t="str">
        <f aca="false">IF(COUNTIF(E5:E13,'Roster &amp; Stats'!$B$2)=0,'Roster &amp; Stats'!$B$2&amp;", ","")</f>
        <v/>
      </c>
      <c r="F40" s="1" t="str">
        <f aca="false">IF(COUNTIF(F5:F13,'Roster &amp; Stats'!$B$2)=0,'Roster &amp; Stats'!$B$2&amp;", ","")</f>
        <v/>
      </c>
      <c r="G40" s="1" t="str">
        <f aca="false">IF(COUNTIF(G5:G13,'Roster &amp; Stats'!$B$2)=0,'Roster &amp; Stats'!$B$2&amp;", ","")</f>
        <v/>
      </c>
    </row>
    <row r="41" customFormat="false" ht="15" hidden="true" customHeight="true" outlineLevel="0" collapsed="false">
      <c r="B41" s="1" t="str">
        <f aca="false">IF(COUNTIF(B5:B13,'Roster &amp; Stats'!$B$3)=0,'Roster &amp; Stats'!$B$3&amp;", ","")</f>
        <v/>
      </c>
      <c r="C41" s="1" t="str">
        <f aca="false">IF(COUNTIF(C5:C13,'Roster &amp; Stats'!$B$3)=0,'Roster &amp; Stats'!$B$3&amp;", ","")</f>
        <v/>
      </c>
      <c r="D41" s="1" t="str">
        <f aca="false">IF(COUNTIF(D5:D13,'Roster &amp; Stats'!$B$3)=0,'Roster &amp; Stats'!$B$3&amp;", ","")</f>
        <v>Adams, </v>
      </c>
      <c r="E41" s="1" t="str">
        <f aca="false">IF(COUNTIF(E5:E13,'Roster &amp; Stats'!$B$3)=0,'Roster &amp; Stats'!$B$3&amp;", ","")</f>
        <v/>
      </c>
      <c r="F41" s="1" t="str">
        <f aca="false">IF(COUNTIF(F5:F13,'Roster &amp; Stats'!$B$3)=0,'Roster &amp; Stats'!$B$3&amp;", ","")</f>
        <v/>
      </c>
      <c r="G41" s="1" t="str">
        <f aca="false">IF(COUNTIF(G5:G13,'Roster &amp; Stats'!$B$3)=0,'Roster &amp; Stats'!$B$3&amp;", ","")</f>
        <v/>
      </c>
    </row>
    <row r="42" customFormat="false" ht="15" hidden="true" customHeight="true" outlineLevel="0" collapsed="false">
      <c r="B42" s="1" t="str">
        <f aca="false">IF(COUNTIF(B5:B13,'Roster &amp; Stats'!$B$4)=0,'Roster &amp; Stats'!$B$4&amp;", ","")</f>
        <v/>
      </c>
      <c r="C42" s="1" t="str">
        <f aca="false">IF(COUNTIF(C5:C13,'Roster &amp; Stats'!$B$4)=0,'Roster &amp; Stats'!$B$4&amp;", ","")</f>
        <v/>
      </c>
      <c r="D42" s="1" t="str">
        <f aca="false">IF(COUNTIF(D5:D13,'Roster &amp; Stats'!$B$4)=0,'Roster &amp; Stats'!$B$4&amp;", ","")</f>
        <v/>
      </c>
      <c r="E42" s="1" t="str">
        <f aca="false">IF(COUNTIF(E5:E13,'Roster &amp; Stats'!$B$4)=0,'Roster &amp; Stats'!$B$4&amp;", ","")</f>
        <v/>
      </c>
      <c r="F42" s="1" t="str">
        <f aca="false">IF(COUNTIF(F5:F13,'Roster &amp; Stats'!$B$4)=0,'Roster &amp; Stats'!$B$4&amp;", ","")</f>
        <v/>
      </c>
      <c r="G42" s="1" t="str">
        <f aca="false">IF(COUNTIF(G5:G13,'Roster &amp; Stats'!$B$4)=0,'Roster &amp; Stats'!$B$4&amp;", ","")</f>
        <v/>
      </c>
    </row>
    <row r="43" customFormat="false" ht="15" hidden="true" customHeight="true" outlineLevel="0" collapsed="false">
      <c r="B43" s="1" t="str">
        <f aca="false">IF(COUNTIF(B5:B13,'Roster &amp; Stats'!$B$5)=0,'Roster &amp; Stats'!$B$5&amp;", ","")</f>
        <v/>
      </c>
      <c r="C43" s="1" t="str">
        <f aca="false">IF(COUNTIF(C5:C13,'Roster &amp; Stats'!$B$5)=0,'Roster &amp; Stats'!$B$5&amp;", ","")</f>
        <v/>
      </c>
      <c r="D43" s="1" t="str">
        <f aca="false">IF(COUNTIF(D5:D13,'Roster &amp; Stats'!$B$5)=0,'Roster &amp; Stats'!$B$5&amp;", ","")</f>
        <v/>
      </c>
      <c r="E43" s="1" t="str">
        <f aca="false">IF(COUNTIF(E5:E13,'Roster &amp; Stats'!$B$5)=0,'Roster &amp; Stats'!$B$5&amp;", ","")</f>
        <v/>
      </c>
      <c r="F43" s="1" t="str">
        <f aca="false">IF(COUNTIF(F5:F13,'Roster &amp; Stats'!$B$5)=0,'Roster &amp; Stats'!$B$5&amp;", ","")</f>
        <v/>
      </c>
      <c r="G43" s="1" t="str">
        <f aca="false">IF(COUNTIF(G5:G13,'Roster &amp; Stats'!$B$5)=0,'Roster &amp; Stats'!$B$5&amp;", ","")</f>
        <v/>
      </c>
    </row>
    <row r="44" customFormat="false" ht="15" hidden="true" customHeight="true" outlineLevel="0" collapsed="false">
      <c r="B44" s="1" t="str">
        <f aca="false">IF(COUNTIF(B5:B13,'Roster &amp; Stats'!$B$6)=0,'Roster &amp; Stats'!$B$6&amp;", ","")</f>
        <v/>
      </c>
      <c r="C44" s="1" t="str">
        <f aca="false">IF(COUNTIF(C5:C13,'Roster &amp; Stats'!$B$6)=0,'Roster &amp; Stats'!$B$6&amp;", ","")</f>
        <v/>
      </c>
      <c r="D44" s="1" t="str">
        <f aca="false">IF(COUNTIF(D5:D13,'Roster &amp; Stats'!$B$6)=0,'Roster &amp; Stats'!$B$6&amp;", ","")</f>
        <v/>
      </c>
      <c r="E44" s="1" t="str">
        <f aca="false">IF(COUNTIF(E5:E13,'Roster &amp; Stats'!$B$6)=0,'Roster &amp; Stats'!$B$6&amp;", ","")</f>
        <v/>
      </c>
      <c r="F44" s="1" t="str">
        <f aca="false">IF(COUNTIF(F5:F13,'Roster &amp; Stats'!$B$6)=0,'Roster &amp; Stats'!$B$6&amp;", ","")</f>
        <v/>
      </c>
      <c r="G44" s="1" t="str">
        <f aca="false">IF(COUNTIF(G5:G13,'Roster &amp; Stats'!$B$6)=0,'Roster &amp; Stats'!$B$6&amp;", ","")</f>
        <v/>
      </c>
    </row>
    <row r="45" customFormat="false" ht="15" hidden="true" customHeight="true" outlineLevel="0" collapsed="false">
      <c r="B45" s="1" t="str">
        <f aca="false">IF(COUNTIF(B5:B13,'Roster &amp; Stats'!$B$7)=0,'Roster &amp; Stats'!$B$7&amp;", ","")</f>
        <v/>
      </c>
      <c r="C45" s="1" t="str">
        <f aca="false">IF(COUNTIF(C5:C13,'Roster &amp; Stats'!$B$7)=0,'Roster &amp; Stats'!$B$7&amp;", ","")</f>
        <v/>
      </c>
      <c r="D45" s="1" t="str">
        <f aca="false">IF(COUNTIF(D5:D13,'Roster &amp; Stats'!$B$7)=0,'Roster &amp; Stats'!$B$7&amp;", ","")</f>
        <v/>
      </c>
      <c r="E45" s="1" t="str">
        <f aca="false">IF(COUNTIF(E5:E13,'Roster &amp; Stats'!$B$7)=0,'Roster &amp; Stats'!$B$7&amp;", ","")</f>
        <v/>
      </c>
      <c r="F45" s="1" t="str">
        <f aca="false">IF(COUNTIF(F5:F13,'Roster &amp; Stats'!$B$7)=0,'Roster &amp; Stats'!$B$7&amp;", ","")</f>
        <v/>
      </c>
      <c r="G45" s="1" t="str">
        <f aca="false">IF(COUNTIF(G5:G13,'Roster &amp; Stats'!$B$7)=0,'Roster &amp; Stats'!$B$7&amp;", ","")</f>
        <v/>
      </c>
    </row>
    <row r="46" customFormat="false" ht="15" hidden="true" customHeight="true" outlineLevel="0" collapsed="false">
      <c r="B46" s="1" t="str">
        <f aca="false">IF(COUNTIF(B5:B13,'Roster &amp; Stats'!$B$8)=0,'Roster &amp; Stats'!$B$8&amp;", ","")</f>
        <v>Sander, </v>
      </c>
      <c r="C46" s="1" t="str">
        <f aca="false">IF(COUNTIF(C5:C13,'Roster &amp; Stats'!$B$8)=0,'Roster &amp; Stats'!$B$8&amp;", ","")</f>
        <v/>
      </c>
      <c r="D46" s="1" t="str">
        <f aca="false">IF(COUNTIF(D5:D13,'Roster &amp; Stats'!$B$8)=0,'Roster &amp; Stats'!$B$8&amp;", ","")</f>
        <v>Sander, </v>
      </c>
      <c r="E46" s="1" t="str">
        <f aca="false">IF(COUNTIF(E5:E13,'Roster &amp; Stats'!$B$8)=0,'Roster &amp; Stats'!$B$8&amp;", ","")</f>
        <v/>
      </c>
      <c r="F46" s="1" t="str">
        <f aca="false">IF(COUNTIF(F5:F13,'Roster &amp; Stats'!$B$8)=0,'Roster &amp; Stats'!$B$8&amp;", ","")</f>
        <v>Sander, </v>
      </c>
      <c r="G46" s="1" t="str">
        <f aca="false">IF(COUNTIF(G5:G13,'Roster &amp; Stats'!$B$8)=0,'Roster &amp; Stats'!$B$8&amp;", ","")</f>
        <v/>
      </c>
    </row>
    <row r="47" customFormat="false" ht="15" hidden="true" customHeight="true" outlineLevel="0" collapsed="false">
      <c r="B47" s="1" t="str">
        <f aca="false">IF(COUNTIF(B5:B13,'Roster &amp; Stats'!$B$9)=0,'Roster &amp; Stats'!$B$9&amp;", ","")</f>
        <v>Mills, </v>
      </c>
      <c r="C47" s="1" t="str">
        <f aca="false">IF(COUNTIF(C5:C13,'Roster &amp; Stats'!$B$9)=0,'Roster &amp; Stats'!$B$9&amp;", ","")</f>
        <v>Mills, </v>
      </c>
      <c r="D47" s="1" t="str">
        <f aca="false">IF(COUNTIF(D5:D13,'Roster &amp; Stats'!$B$9)=0,'Roster &amp; Stats'!$B$9&amp;", ","")</f>
        <v/>
      </c>
      <c r="E47" s="1" t="str">
        <f aca="false">IF(COUNTIF(E5:E13,'Roster &amp; Stats'!$B$9)=0,'Roster &amp; Stats'!$B$9&amp;", ","")</f>
        <v>Mills, </v>
      </c>
      <c r="F47" s="1" t="str">
        <f aca="false">IF(COUNTIF(F5:F13,'Roster &amp; Stats'!$B$9)=0,'Roster &amp; Stats'!$B$9&amp;", ","")</f>
        <v/>
      </c>
      <c r="G47" s="1" t="str">
        <f aca="false">IF(COUNTIF(G5:G13,'Roster &amp; Stats'!$B$9)=0,'Roster &amp; Stats'!$B$9&amp;", ","")</f>
        <v/>
      </c>
    </row>
    <row r="48" customFormat="false" ht="15" hidden="true" customHeight="true" outlineLevel="0" collapsed="false">
      <c r="B48" s="1" t="str">
        <f aca="false">IF(COUNTIF(B5:B13,'Roster &amp; Stats'!$B$10)=0,'Roster &amp; Stats'!$B$10&amp;", ","")</f>
        <v/>
      </c>
      <c r="C48" s="1" t="str">
        <f aca="false">IF(COUNTIF(C5:C13,'Roster &amp; Stats'!$B$10)=0,'Roster &amp; Stats'!$B$10&amp;", ","")</f>
        <v/>
      </c>
      <c r="D48" s="1" t="str">
        <f aca="false">IF(COUNTIF(D5:D13,'Roster &amp; Stats'!$B$10)=0,'Roster &amp; Stats'!$B$10&amp;", ","")</f>
        <v/>
      </c>
      <c r="E48" s="1" t="str">
        <f aca="false">IF(COUNTIF(E5:E13,'Roster &amp; Stats'!$B$10)=0,'Roster &amp; Stats'!$B$10&amp;", ","")</f>
        <v>Todd, </v>
      </c>
      <c r="F48" s="1" t="str">
        <f aca="false">IF(COUNTIF(F5:F13,'Roster &amp; Stats'!$B$10)=0,'Roster &amp; Stats'!$B$10&amp;", ","")</f>
        <v>Todd, </v>
      </c>
      <c r="G48" s="1" t="str">
        <f aca="false">IF(COUNTIF(G5:G13,'Roster &amp; Stats'!$B$10)=0,'Roster &amp; Stats'!$B$10&amp;", ","")</f>
        <v/>
      </c>
    </row>
    <row r="49" customFormat="false" ht="15" hidden="true" customHeight="true" outlineLevel="0" collapsed="false">
      <c r="B49" s="1" t="str">
        <f aca="false">IF(COUNTIF(B5:B13,'Roster &amp; Stats'!$B$11)=0,'Roster &amp; Stats'!$B$11&amp;", ","")</f>
        <v/>
      </c>
      <c r="C49" s="1" t="str">
        <f aca="false">IF(COUNTIF(C5:C13,'Roster &amp; Stats'!$B$11)=0,'Roster &amp; Stats'!$B$11&amp;", ","")</f>
        <v>Floyd, </v>
      </c>
      <c r="D49" s="1" t="str">
        <f aca="false">IF(COUNTIF(D5:D13,'Roster &amp; Stats'!$B$11)=0,'Roster &amp; Stats'!$B$11&amp;", ","")</f>
        <v/>
      </c>
      <c r="E49" s="1" t="str">
        <f aca="false">IF(COUNTIF(E5:E13,'Roster &amp; Stats'!$B$11)=0,'Roster &amp; Stats'!$B$11&amp;", ","")</f>
        <v/>
      </c>
      <c r="F49" s="1" t="str">
        <f aca="false">IF(COUNTIF(F5:F13,'Roster &amp; Stats'!$B$11)=0,'Roster &amp; Stats'!$B$11&amp;", ","")</f>
        <v>Floyd, </v>
      </c>
      <c r="G49" s="1" t="str">
        <f aca="false">IF(COUNTIF(G5:G13,'Roster &amp; Stats'!$B$11)=0,'Roster &amp; Stats'!$B$11&amp;", ","")</f>
        <v>Floyd, </v>
      </c>
    </row>
    <row r="50" customFormat="false" ht="15" hidden="true" customHeight="true" outlineLevel="0" collapsed="false">
      <c r="B50" s="1" t="str">
        <f aca="false">IF(COUNTIF(B5:B13,'Roster &amp; Stats'!$B$12)=0,'Roster &amp; Stats'!$B$12&amp;", ","")</f>
        <v/>
      </c>
      <c r="C50" s="1" t="str">
        <f aca="false">IF(COUNTIF(C5:C13,'Roster &amp; Stats'!$B$12)=0,'Roster &amp; Stats'!$B$12&amp;", ","")</f>
        <v>Niemer, </v>
      </c>
      <c r="D50" s="1" t="str">
        <f aca="false">IF(COUNTIF(D5:D13,'Roster &amp; Stats'!$B$12)=0,'Roster &amp; Stats'!$B$12&amp;", ","")</f>
        <v>Niemer, </v>
      </c>
      <c r="E50" s="1" t="str">
        <f aca="false">IF(COUNTIF(E5:E13,'Roster &amp; Stats'!$B$12)=0,'Roster &amp; Stats'!$B$12&amp;", ","")</f>
        <v/>
      </c>
      <c r="F50" s="1" t="str">
        <f aca="false">IF(COUNTIF(F5:F13,'Roster &amp; Stats'!$B$12)=0,'Roster &amp; Stats'!$B$12&amp;", ","")</f>
        <v/>
      </c>
      <c r="G50" s="1" t="str">
        <f aca="false">IF(COUNTIF(G5:G13,'Roster &amp; Stats'!$B$12)=0,'Roster &amp; Stats'!$B$12&amp;", ","")</f>
        <v>Niemer, </v>
      </c>
    </row>
    <row r="51" customFormat="false" ht="15" hidden="true" customHeight="true" outlineLevel="0" collapsed="false">
      <c r="B51" s="1" t="str">
        <f aca="false">IF(COUNTIF(B5:B13,'Roster &amp; Stats'!$B$13)=0,'Roster &amp; Stats'!$B$13&amp;", ","")</f>
        <v>Fristoe, </v>
      </c>
      <c r="C51" s="1" t="str">
        <f aca="false">IF(COUNTIF(C5:C13,'Roster &amp; Stats'!$B$13)=0,'Roster &amp; Stats'!$B$13&amp;", ","")</f>
        <v/>
      </c>
      <c r="D51" s="1" t="str">
        <f aca="false">IF(COUNTIF(D5:D13,'Roster &amp; Stats'!$B$13)=0,'Roster &amp; Stats'!$B$13&amp;", ","")</f>
        <v/>
      </c>
      <c r="E51" s="1" t="str">
        <f aca="false">IF(COUNTIF(E5:E13,'Roster &amp; Stats'!$B$13)=0,'Roster &amp; Stats'!$B$13&amp;", ","")</f>
        <v>Fristoe, </v>
      </c>
      <c r="F51" s="1" t="str">
        <f aca="false">IF(COUNTIF(F5:F13,'Roster &amp; Stats'!$B$13)=0,'Roster &amp; Stats'!$B$13&amp;", ","")</f>
        <v/>
      </c>
      <c r="G51" s="1" t="str">
        <f aca="false">IF(COUNTIF(G5:G13,'Roster &amp; Stats'!$B$13)=0,'Roster &amp; Stats'!$B$13&amp;", ","")</f>
        <v>Fristoe, </v>
      </c>
    </row>
  </sheetData>
  <mergeCells count="10">
    <mergeCell ref="A1:G1"/>
    <mergeCell ref="A2:G2"/>
    <mergeCell ref="I4:L4"/>
    <mergeCell ref="A16:G16"/>
    <mergeCell ref="A17:G17"/>
    <mergeCell ref="A18:G18"/>
    <mergeCell ref="A19:G19"/>
    <mergeCell ref="A20:G20"/>
    <mergeCell ref="I20:L20"/>
    <mergeCell ref="A21:G21"/>
  </mergeCells>
  <conditionalFormatting sqref="B14:G14">
    <cfRule type="cellIs" priority="2" operator="equal" aboveAverage="0" equalAverage="0" bottom="0" percent="0" rank="0" text="" dxfId="0">
      <formula>"DUP"</formula>
    </cfRule>
  </conditionalFormatting>
  <conditionalFormatting sqref="J18">
    <cfRule type="cellIs" priority="3" operator="notEqual" aboveAverage="0" equalAverage="0" bottom="0" percent="0" rank="0" text="" dxfId="0">
      <formula>54</formula>
    </cfRule>
  </conditionalFormatting>
  <dataValidations count="1">
    <dataValidation allowBlank="true" error="Pick a player from the roster" errorStyle="stop" operator="between" prompt="Choose a player" showDropDown="false" showErrorMessage="false" showInputMessage="false" sqref="B5:G13" type="list">
      <formula1>"Ruther,Adams,Martini,Lasita,Grayson,Powers,Sander,Mills,Todd,Floyd,Niemer,Fristoe"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8" min="4" style="1" width="7"/>
    <col collapsed="false" customWidth="true" hidden="false" outlineLevel="0" max="9" min="9" style="1" width="9"/>
    <col collapsed="false" customWidth="true" hidden="false" outlineLevel="0" max="10" min="10" style="1" width="34"/>
  </cols>
  <sheetData>
    <row r="1" customFormat="false" ht="15" hidden="false" customHeight="true" outlineLevel="0" collapsed="false">
      <c r="A1" s="4" t="s">
        <v>55</v>
      </c>
      <c r="B1" s="4" t="s">
        <v>15</v>
      </c>
      <c r="C1" s="4" t="s">
        <v>56</v>
      </c>
      <c r="D1" s="4" t="s">
        <v>57</v>
      </c>
      <c r="E1" s="4" t="s">
        <v>58</v>
      </c>
      <c r="F1" s="4" t="s">
        <v>59</v>
      </c>
      <c r="G1" s="4" t="s">
        <v>60</v>
      </c>
      <c r="H1" s="4" t="s">
        <v>61</v>
      </c>
      <c r="I1" s="4" t="s">
        <v>62</v>
      </c>
      <c r="J1" s="4" t="s">
        <v>63</v>
      </c>
    </row>
    <row r="2" customFormat="false" ht="15" hidden="false" customHeight="true" outlineLevel="0" collapsed="false">
      <c r="A2" s="22" t="n">
        <v>15</v>
      </c>
      <c r="B2" s="23" t="s">
        <v>20</v>
      </c>
      <c r="C2" s="22" t="s">
        <v>19</v>
      </c>
      <c r="D2" s="22" t="s">
        <v>64</v>
      </c>
      <c r="E2" s="22" t="s">
        <v>65</v>
      </c>
      <c r="F2" s="22" t="s">
        <v>66</v>
      </c>
      <c r="G2" s="22" t="s">
        <v>67</v>
      </c>
      <c r="H2" s="22" t="s">
        <v>68</v>
      </c>
      <c r="I2" s="22" t="s">
        <v>69</v>
      </c>
      <c r="J2" s="23" t="s">
        <v>70</v>
      </c>
    </row>
    <row r="3" customFormat="false" ht="15" hidden="false" customHeight="true" outlineLevel="0" collapsed="false">
      <c r="A3" s="24" t="n">
        <v>3</v>
      </c>
      <c r="B3" s="25" t="s">
        <v>23</v>
      </c>
      <c r="C3" s="24" t="s">
        <v>22</v>
      </c>
      <c r="D3" s="24" t="s">
        <v>71</v>
      </c>
      <c r="E3" s="24" t="s">
        <v>72</v>
      </c>
      <c r="F3" s="24" t="s">
        <v>73</v>
      </c>
      <c r="G3" s="24" t="s">
        <v>74</v>
      </c>
      <c r="H3" s="24" t="s">
        <v>75</v>
      </c>
      <c r="I3" s="24" t="s">
        <v>76</v>
      </c>
      <c r="J3" s="25" t="s">
        <v>77</v>
      </c>
    </row>
    <row r="4" customFormat="false" ht="15" hidden="false" customHeight="true" outlineLevel="0" collapsed="false">
      <c r="A4" s="22" t="n">
        <v>21</v>
      </c>
      <c r="B4" s="23" t="s">
        <v>11</v>
      </c>
      <c r="C4" s="22" t="s">
        <v>31</v>
      </c>
      <c r="D4" s="22" t="s">
        <v>78</v>
      </c>
      <c r="E4" s="22" t="s">
        <v>79</v>
      </c>
      <c r="F4" s="22" t="s">
        <v>80</v>
      </c>
      <c r="G4" s="22" t="s">
        <v>81</v>
      </c>
      <c r="H4" s="22" t="s">
        <v>82</v>
      </c>
      <c r="I4" s="22" t="s">
        <v>83</v>
      </c>
      <c r="J4" s="23" t="s">
        <v>84</v>
      </c>
    </row>
    <row r="5" customFormat="false" ht="15" hidden="false" customHeight="true" outlineLevel="0" collapsed="false">
      <c r="A5" s="24" t="n">
        <v>5</v>
      </c>
      <c r="B5" s="25" t="s">
        <v>29</v>
      </c>
      <c r="C5" s="24" t="s">
        <v>28</v>
      </c>
      <c r="D5" s="24" t="s">
        <v>85</v>
      </c>
      <c r="E5" s="24" t="s">
        <v>86</v>
      </c>
      <c r="F5" s="24" t="s">
        <v>66</v>
      </c>
      <c r="G5" s="24" t="s">
        <v>87</v>
      </c>
      <c r="H5" s="24" t="s">
        <v>88</v>
      </c>
      <c r="I5" s="24" t="s">
        <v>89</v>
      </c>
      <c r="J5" s="25" t="s">
        <v>90</v>
      </c>
    </row>
    <row r="6" customFormat="false" ht="15" hidden="false" customHeight="true" outlineLevel="0" collapsed="false">
      <c r="A6" s="22" t="n">
        <v>1</v>
      </c>
      <c r="B6" s="23" t="s">
        <v>26</v>
      </c>
      <c r="C6" s="22" t="s">
        <v>25</v>
      </c>
      <c r="D6" s="22" t="s">
        <v>91</v>
      </c>
      <c r="E6" s="22" t="s">
        <v>92</v>
      </c>
      <c r="F6" s="22" t="s">
        <v>93</v>
      </c>
      <c r="G6" s="22" t="s">
        <v>94</v>
      </c>
      <c r="H6" s="22" t="s">
        <v>95</v>
      </c>
      <c r="I6" s="22" t="s">
        <v>96</v>
      </c>
      <c r="J6" s="23" t="s">
        <v>97</v>
      </c>
    </row>
    <row r="7" customFormat="false" ht="15" hidden="false" customHeight="true" outlineLevel="0" collapsed="false">
      <c r="A7" s="24" t="n">
        <v>2</v>
      </c>
      <c r="B7" s="25" t="s">
        <v>12</v>
      </c>
      <c r="C7" s="24" t="s">
        <v>98</v>
      </c>
      <c r="D7" s="24" t="s">
        <v>99</v>
      </c>
      <c r="E7" s="24" t="s">
        <v>100</v>
      </c>
      <c r="F7" s="24" t="s">
        <v>101</v>
      </c>
      <c r="G7" s="24" t="s">
        <v>102</v>
      </c>
      <c r="H7" s="24" t="s">
        <v>103</v>
      </c>
      <c r="I7" s="24" t="s">
        <v>104</v>
      </c>
      <c r="J7" s="25" t="s">
        <v>105</v>
      </c>
    </row>
    <row r="8" customFormat="false" ht="15" hidden="false" customHeight="true" outlineLevel="0" collapsed="false">
      <c r="A8" s="22" t="n">
        <v>56</v>
      </c>
      <c r="B8" s="23" t="s">
        <v>13</v>
      </c>
      <c r="C8" s="22" t="s">
        <v>25</v>
      </c>
      <c r="D8" s="22" t="s">
        <v>106</v>
      </c>
      <c r="E8" s="22" t="s">
        <v>107</v>
      </c>
      <c r="F8" s="22" t="s">
        <v>108</v>
      </c>
      <c r="G8" s="22" t="s">
        <v>109</v>
      </c>
      <c r="H8" s="22" t="s">
        <v>110</v>
      </c>
      <c r="I8" s="22" t="s">
        <v>111</v>
      </c>
      <c r="J8" s="23" t="s">
        <v>112</v>
      </c>
    </row>
    <row r="9" customFormat="false" ht="15" hidden="false" customHeight="true" outlineLevel="0" collapsed="false">
      <c r="A9" s="24" t="n">
        <v>6</v>
      </c>
      <c r="B9" s="25" t="s">
        <v>14</v>
      </c>
      <c r="C9" s="24" t="s">
        <v>113</v>
      </c>
      <c r="D9" s="24" t="s">
        <v>114</v>
      </c>
      <c r="E9" s="24" t="s">
        <v>115</v>
      </c>
      <c r="F9" s="24" t="s">
        <v>80</v>
      </c>
      <c r="G9" s="24" t="s">
        <v>116</v>
      </c>
      <c r="H9" s="24" t="s">
        <v>117</v>
      </c>
      <c r="I9" s="24" t="s">
        <v>118</v>
      </c>
      <c r="J9" s="25" t="s">
        <v>119</v>
      </c>
    </row>
    <row r="10" customFormat="false" ht="15" hidden="false" customHeight="true" outlineLevel="0" collapsed="false">
      <c r="A10" s="22" t="n">
        <v>9</v>
      </c>
      <c r="B10" s="23" t="s">
        <v>37</v>
      </c>
      <c r="C10" s="22" t="s">
        <v>36</v>
      </c>
      <c r="D10" s="22" t="s">
        <v>120</v>
      </c>
      <c r="E10" s="22" t="s">
        <v>121</v>
      </c>
      <c r="F10" s="22" t="s">
        <v>122</v>
      </c>
      <c r="G10" s="22" t="s">
        <v>123</v>
      </c>
      <c r="H10" s="22" t="s">
        <v>124</v>
      </c>
      <c r="I10" s="22" t="s">
        <v>125</v>
      </c>
      <c r="J10" s="23" t="s">
        <v>126</v>
      </c>
    </row>
    <row r="11" customFormat="false" ht="15" hidden="false" customHeight="true" outlineLevel="0" collapsed="false">
      <c r="A11" s="24" t="n">
        <v>11</v>
      </c>
      <c r="B11" s="25" t="s">
        <v>40</v>
      </c>
      <c r="C11" s="24" t="s">
        <v>39</v>
      </c>
      <c r="D11" s="24" t="s">
        <v>127</v>
      </c>
      <c r="E11" s="24" t="s">
        <v>92</v>
      </c>
      <c r="F11" s="24" t="s">
        <v>128</v>
      </c>
      <c r="G11" s="24" t="s">
        <v>129</v>
      </c>
      <c r="H11" s="24" t="s">
        <v>130</v>
      </c>
      <c r="I11" s="24" t="s">
        <v>104</v>
      </c>
      <c r="J11" s="25" t="s">
        <v>131</v>
      </c>
    </row>
    <row r="12" customFormat="false" ht="15" hidden="false" customHeight="true" outlineLevel="0" collapsed="false">
      <c r="A12" s="22" t="n">
        <v>17</v>
      </c>
      <c r="B12" s="23" t="s">
        <v>34</v>
      </c>
      <c r="C12" s="22" t="s">
        <v>132</v>
      </c>
      <c r="D12" s="22" t="s">
        <v>133</v>
      </c>
      <c r="E12" s="22" t="s">
        <v>134</v>
      </c>
      <c r="F12" s="22" t="s">
        <v>135</v>
      </c>
      <c r="G12" s="22" t="s">
        <v>136</v>
      </c>
      <c r="H12" s="22" t="s">
        <v>137</v>
      </c>
      <c r="I12" s="22" t="s">
        <v>104</v>
      </c>
      <c r="J12" s="23" t="s">
        <v>138</v>
      </c>
    </row>
    <row r="13" customFormat="false" ht="15" hidden="false" customHeight="true" outlineLevel="0" collapsed="false">
      <c r="A13" s="24" t="n">
        <v>19</v>
      </c>
      <c r="B13" s="25" t="s">
        <v>35</v>
      </c>
      <c r="C13" s="24" t="s">
        <v>132</v>
      </c>
      <c r="D13" s="24" t="s">
        <v>139</v>
      </c>
      <c r="E13" s="24" t="s">
        <v>140</v>
      </c>
      <c r="F13" s="24" t="s">
        <v>141</v>
      </c>
      <c r="G13" s="24" t="s">
        <v>142</v>
      </c>
      <c r="H13" s="24" t="s">
        <v>143</v>
      </c>
      <c r="I13" s="24" t="s">
        <v>144</v>
      </c>
      <c r="J13" s="25" t="s">
        <v>138</v>
      </c>
    </row>
    <row r="15" customFormat="false" ht="15" hidden="false" customHeight="true" outlineLevel="0" collapsed="false">
      <c r="B15" s="26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2026-06-20T17:46:43Z</dcterms:created>
  <dc:creator>openpyxl</dc:creator>
  <dc:description/>
  <dc:language>en-US</dc:language>
  <cp:lastModifiedBy/>
  <dcterms:modified xsi:type="dcterms:W3CDTF">2026-06-20T17:51:27Z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